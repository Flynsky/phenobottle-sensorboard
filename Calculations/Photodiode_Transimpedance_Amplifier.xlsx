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ewi\Documents\Projects\spacelab\phenobottle-sensorboard\Calculations\"/>
    </mc:Choice>
  </mc:AlternateContent>
  <xr:revisionPtr revIDLastSave="0" documentId="13_ncr:1_{86B33E3A-EE66-4A4B-B439-1E0F0083EAFC}" xr6:coauthVersionLast="47" xr6:coauthVersionMax="47" xr10:uidLastSave="{00000000-0000-0000-0000-000000000000}"/>
  <bookViews>
    <workbookView xWindow="29925" yWindow="1125" windowWidth="21600" windowHeight="11295" xr2:uid="{9398735A-6C12-4802-804E-8CB648F362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28" i="1" s="1"/>
  <c r="C11" i="1"/>
  <c r="C13" i="1"/>
  <c r="C14" i="1" s="1"/>
  <c r="C30" i="1" l="1"/>
  <c r="C26" i="1"/>
  <c r="C24" i="1"/>
  <c r="C18" i="1"/>
  <c r="C17" i="1"/>
  <c r="C25" i="1" s="1"/>
  <c r="C29" i="1" l="1"/>
  <c r="C31" i="1"/>
  <c r="C33" i="1"/>
</calcChain>
</file>

<file path=xl/sharedStrings.xml><?xml version="1.0" encoding="utf-8"?>
<sst xmlns="http://schemas.openxmlformats.org/spreadsheetml/2006/main" count="53" uniqueCount="44">
  <si>
    <t>Expected Measurements</t>
  </si>
  <si>
    <t>I_phodotiode_max[nA]</t>
  </si>
  <si>
    <t>Design Requirements</t>
  </si>
  <si>
    <t>ADC Values</t>
  </si>
  <si>
    <t>Resolution[bit]</t>
  </si>
  <si>
    <t>Vmax[V]</t>
  </si>
  <si>
    <t>Resolution[uV]</t>
  </si>
  <si>
    <t>---</t>
  </si>
  <si>
    <t>fg[Hz]</t>
  </si>
  <si>
    <t>Resolution_min[nA]</t>
  </si>
  <si>
    <t>Gain_min[V/mA][kΩ]</t>
  </si>
  <si>
    <t>Gain_min[dB]</t>
  </si>
  <si>
    <t>Opamp</t>
  </si>
  <si>
    <t>Aol[dB]</t>
  </si>
  <si>
    <t># Open Loop Verstärkung</t>
  </si>
  <si>
    <t>Dual stage design</t>
  </si>
  <si>
    <t>Single stage design</t>
  </si>
  <si>
    <t>Gain_per_stage[V/mA][kΩ]</t>
  </si>
  <si>
    <t># Gain_min / 2</t>
  </si>
  <si>
    <t>Ra[kΩ]</t>
  </si>
  <si>
    <t>GBW[MHz]</t>
  </si>
  <si>
    <t>Gain_per_stage[dB]</t>
  </si>
  <si>
    <t># expected peak current values</t>
  </si>
  <si>
    <t># minimal resolution for current measurement</t>
  </si>
  <si>
    <t>!all next calculations with Gain_min!</t>
  </si>
  <si>
    <t>Rb[kΩ]</t>
  </si>
  <si>
    <t>Rc[kΩ]</t>
  </si>
  <si>
    <t># Rb/Rc = Gain second stage</t>
  </si>
  <si>
    <t>Gain[dB]</t>
  </si>
  <si>
    <t>Gain/Ra[kΩ]</t>
  </si>
  <si>
    <t>TI Amplifier  Calculator</t>
  </si>
  <si>
    <t># doesn´t include noise</t>
  </si>
  <si>
    <t># = GBW / Gain_min</t>
  </si>
  <si>
    <t># = GBW/ Gain_per_stage</t>
  </si>
  <si>
    <t># minimal bandwith of complete design.</t>
  </si>
  <si>
    <t>!please change only white tiles!</t>
  </si>
  <si>
    <t>I_pd_max[nA]</t>
  </si>
  <si>
    <t>Gain_perfect_adc[V/uA][MΩ]</t>
  </si>
  <si>
    <t>Gain_perfect_adc[dB]</t>
  </si>
  <si>
    <t xml:space="preserve"># = ADC_Resolution / Resolution_min                                                        </t>
  </si>
  <si>
    <t xml:space="preserve"># = Vmax_ADC/ I_pd </t>
  </si>
  <si>
    <t>Gain to use full range of ADC</t>
  </si>
  <si>
    <t>Gain to get the minimal Resolution from "Design Requirements"</t>
  </si>
  <si>
    <t># ADC klipping / maximal measurable photodiode current with Gain_min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</si>
</sst>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2" borderId="0" xfId="0" applyFont="1" applyFill="1"/>
    <xf numFmtId="2" fontId="2" fillId="2" borderId="0" xfId="0" quotePrefix="1" applyNumberFormat="1" applyFont="1" applyFill="1"/>
    <xf numFmtId="2" fontId="0" fillId="3" borderId="0" xfId="0" applyNumberFormat="1" applyFill="1"/>
    <xf numFmtId="164" fontId="0" fillId="3" borderId="0" xfId="0" applyNumberFormat="1" applyFill="1"/>
    <xf numFmtId="2" fontId="0" fillId="2" borderId="0" xfId="0" quotePrefix="1" applyNumberFormat="1" applyFill="1"/>
    <xf numFmtId="1" fontId="0" fillId="2" borderId="0" xfId="0" applyNumberFormat="1" applyFill="1"/>
    <xf numFmtId="0" fontId="3" fillId="2" borderId="0" xfId="0" applyFont="1" applyFill="1"/>
    <xf numFmtId="2" fontId="0" fillId="3" borderId="1" xfId="0" applyNumberFormat="1" applyFill="1" applyBorder="1"/>
    <xf numFmtId="0" fontId="4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vertical="top" wrapText="1"/>
    </xf>
    <xf numFmtId="2" fontId="0" fillId="3" borderId="2" xfId="0" applyNumberFormat="1" applyFill="1" applyBorder="1"/>
    <xf numFmtId="165" fontId="0" fillId="2" borderId="0" xfId="0" applyNumberFormat="1" applyFill="1" applyAlignment="1">
      <alignment horizontal="left" indent="20"/>
    </xf>
    <xf numFmtId="0" fontId="0" fillId="2" borderId="0" xfId="0" applyFill="1" applyAlignment="1">
      <alignment horizontal="left" wrapText="1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21</xdr:row>
      <xdr:rowOff>91511</xdr:rowOff>
    </xdr:from>
    <xdr:to>
      <xdr:col>6</xdr:col>
      <xdr:colOff>57150</xdr:colOff>
      <xdr:row>23</xdr:row>
      <xdr:rowOff>161925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27CE6F3-A6A0-21EF-34CB-6CF9E9B70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4072961"/>
          <a:ext cx="676275" cy="45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169808</xdr:colOff>
      <xdr:row>25</xdr:row>
      <xdr:rowOff>173623</xdr:rowOff>
    </xdr:from>
    <xdr:to>
      <xdr:col>6</xdr:col>
      <xdr:colOff>84083</xdr:colOff>
      <xdr:row>28</xdr:row>
      <xdr:rowOff>53537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12AC66C-EEC1-40C5-9AEE-A61B0CAF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2515" y="4916416"/>
          <a:ext cx="676275" cy="45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142423</xdr:colOff>
      <xdr:row>25</xdr:row>
      <xdr:rowOff>171410</xdr:rowOff>
    </xdr:from>
    <xdr:to>
      <xdr:col>7</xdr:col>
      <xdr:colOff>170998</xdr:colOff>
      <xdr:row>28</xdr:row>
      <xdr:rowOff>126960</xdr:rowOff>
    </xdr:to>
    <xdr:pic>
      <xdr:nvPicPr>
        <xdr:cNvPr id="5" name="Grafik 4" descr="Inverting op amp circuit.">
          <a:extLst>
            <a:ext uri="{FF2B5EF4-FFF2-40B4-BE49-F238E27FC236}">
              <a16:creationId xmlns:a16="http://schemas.microsoft.com/office/drawing/2014/main" id="{D42BFAD4-15BB-FD3B-B353-EB48E29FD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7130" y="4914203"/>
          <a:ext cx="790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142875</xdr:colOff>
      <xdr:row>22</xdr:row>
      <xdr:rowOff>91511</xdr:rowOff>
    </xdr:from>
    <xdr:ext cx="676275" cy="451414"/>
    <xdr:pic>
      <xdr:nvPicPr>
        <xdr:cNvPr id="8" name="Grafik 7">
          <a:extLst>
            <a:ext uri="{FF2B5EF4-FFF2-40B4-BE49-F238E27FC236}">
              <a16:creationId xmlns:a16="http://schemas.microsoft.com/office/drawing/2014/main" id="{F305400A-3394-4662-80DC-4CFA5D4B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4092011"/>
          <a:ext cx="676275" cy="45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169808</xdr:colOff>
      <xdr:row>26</xdr:row>
      <xdr:rowOff>173623</xdr:rowOff>
    </xdr:from>
    <xdr:ext cx="676275" cy="451414"/>
    <xdr:pic>
      <xdr:nvPicPr>
        <xdr:cNvPr id="9" name="Grafik 8">
          <a:extLst>
            <a:ext uri="{FF2B5EF4-FFF2-40B4-BE49-F238E27FC236}">
              <a16:creationId xmlns:a16="http://schemas.microsoft.com/office/drawing/2014/main" id="{DA112B6A-F5FA-4323-962A-24845026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1858" y="4936123"/>
          <a:ext cx="676275" cy="45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142423</xdr:colOff>
      <xdr:row>26</xdr:row>
      <xdr:rowOff>171410</xdr:rowOff>
    </xdr:from>
    <xdr:ext cx="790575" cy="527050"/>
    <xdr:pic>
      <xdr:nvPicPr>
        <xdr:cNvPr id="10" name="Grafik 9" descr="Inverting op amp circuit.">
          <a:extLst>
            <a:ext uri="{FF2B5EF4-FFF2-40B4-BE49-F238E27FC236}">
              <a16:creationId xmlns:a16="http://schemas.microsoft.com/office/drawing/2014/main" id="{C1B27FBA-4812-462B-8B7F-867F3FFE5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473" y="4933910"/>
          <a:ext cx="790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441511</xdr:colOff>
      <xdr:row>1</xdr:row>
      <xdr:rowOff>51548</xdr:rowOff>
    </xdr:from>
    <xdr:to>
      <xdr:col>9</xdr:col>
      <xdr:colOff>8020</xdr:colOff>
      <xdr:row>6</xdr:row>
      <xdr:rowOff>141195</xdr:rowOff>
    </xdr:to>
    <xdr:pic>
      <xdr:nvPicPr>
        <xdr:cNvPr id="11" name="Grafik 10" descr="How about a magic trick? : r/engineeringmemes">
          <a:extLst>
            <a:ext uri="{FF2B5EF4-FFF2-40B4-BE49-F238E27FC236}">
              <a16:creationId xmlns:a16="http://schemas.microsoft.com/office/drawing/2014/main" id="{AC96967F-EF65-60F0-D9C3-BA74D037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686" y="242048"/>
          <a:ext cx="1811096" cy="1223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9B1D-5C51-4007-BCBA-E9FA70E9B8A6}">
  <dimension ref="B2:I40"/>
  <sheetViews>
    <sheetView tabSelected="1" zoomScale="115" zoomScaleNormal="115" workbookViewId="0">
      <selection activeCell="D9" sqref="D9"/>
    </sheetView>
  </sheetViews>
  <sheetFormatPr baseColWidth="10" defaultColWidth="10.85546875" defaultRowHeight="15" x14ac:dyDescent="0.25"/>
  <cols>
    <col min="2" max="2" width="36" customWidth="1"/>
    <col min="3" max="3" width="32.28515625" style="1" customWidth="1"/>
  </cols>
  <sheetData>
    <row r="2" spans="2:9" ht="28.5" x14ac:dyDescent="0.45">
      <c r="B2" s="10" t="s">
        <v>30</v>
      </c>
      <c r="C2" s="3"/>
      <c r="D2" s="12" t="s">
        <v>35</v>
      </c>
      <c r="E2" s="13"/>
      <c r="F2" s="2"/>
      <c r="G2" s="2"/>
      <c r="H2" s="2"/>
      <c r="I2" s="2"/>
    </row>
    <row r="3" spans="2:9" x14ac:dyDescent="0.25">
      <c r="B3" s="4" t="s">
        <v>0</v>
      </c>
      <c r="C3" s="5" t="s">
        <v>7</v>
      </c>
      <c r="D3" s="2"/>
      <c r="E3" s="2"/>
      <c r="F3" s="2"/>
      <c r="G3" s="2"/>
      <c r="H3" s="2"/>
      <c r="I3" s="2"/>
    </row>
    <row r="4" spans="2:9" x14ac:dyDescent="0.25">
      <c r="B4" s="2" t="s">
        <v>1</v>
      </c>
      <c r="C4" s="6">
        <v>10</v>
      </c>
      <c r="D4" s="2" t="s">
        <v>22</v>
      </c>
      <c r="E4" s="2"/>
      <c r="F4" s="2"/>
      <c r="G4" s="2"/>
      <c r="H4" s="2"/>
      <c r="I4" s="2"/>
    </row>
    <row r="5" spans="2:9" ht="15.75" thickBot="1" x14ac:dyDescent="0.3">
      <c r="B5" s="4" t="s">
        <v>2</v>
      </c>
      <c r="C5" s="5" t="s">
        <v>7</v>
      </c>
      <c r="D5" s="2"/>
      <c r="E5" s="2"/>
      <c r="F5" s="2"/>
      <c r="G5" s="2"/>
      <c r="H5" s="2"/>
      <c r="I5" s="2"/>
    </row>
    <row r="6" spans="2:9" x14ac:dyDescent="0.25">
      <c r="B6" s="2" t="s">
        <v>9</v>
      </c>
      <c r="C6" s="11">
        <v>0.05</v>
      </c>
      <c r="D6" s="2" t="s">
        <v>23</v>
      </c>
      <c r="E6" s="2"/>
      <c r="F6" s="2"/>
      <c r="G6" s="2"/>
      <c r="H6" s="2"/>
      <c r="I6" s="2"/>
    </row>
    <row r="7" spans="2:9" ht="15.75" thickBot="1" x14ac:dyDescent="0.3">
      <c r="B7" s="2" t="s">
        <v>8</v>
      </c>
      <c r="C7" s="18">
        <v>100</v>
      </c>
      <c r="D7" s="2" t="s">
        <v>34</v>
      </c>
      <c r="E7" s="2"/>
      <c r="F7" s="2"/>
      <c r="G7" s="2"/>
      <c r="H7" s="2"/>
      <c r="I7" s="2"/>
    </row>
    <row r="8" spans="2:9" x14ac:dyDescent="0.25">
      <c r="B8" s="4" t="s">
        <v>3</v>
      </c>
      <c r="C8" s="5" t="s">
        <v>7</v>
      </c>
      <c r="D8" s="2"/>
      <c r="E8" s="2"/>
      <c r="F8" s="2"/>
      <c r="G8" s="2"/>
      <c r="H8" s="2"/>
      <c r="I8" s="2"/>
    </row>
    <row r="9" spans="2:9" x14ac:dyDescent="0.25">
      <c r="B9" s="2" t="s">
        <v>4</v>
      </c>
      <c r="C9" s="6">
        <v>16</v>
      </c>
      <c r="D9" s="2"/>
      <c r="E9" s="2"/>
      <c r="F9" s="2"/>
      <c r="G9" s="2"/>
      <c r="H9" s="2"/>
      <c r="I9" s="2"/>
    </row>
    <row r="10" spans="2:9" x14ac:dyDescent="0.25">
      <c r="B10" s="2" t="s">
        <v>5</v>
      </c>
      <c r="C10" s="7">
        <v>0.25600000000000001</v>
      </c>
      <c r="D10" s="2"/>
      <c r="E10" s="2"/>
      <c r="F10" s="2"/>
      <c r="G10" s="2"/>
      <c r="H10" s="2"/>
      <c r="I10" s="2"/>
    </row>
    <row r="11" spans="2:9" x14ac:dyDescent="0.25">
      <c r="B11" s="2" t="s">
        <v>6</v>
      </c>
      <c r="C11" s="3">
        <f>C10/(POWER(2,C9))*1000*1000</f>
        <v>3.90625</v>
      </c>
      <c r="D11" s="2" t="s">
        <v>31</v>
      </c>
      <c r="E11" s="2"/>
      <c r="F11" s="2"/>
      <c r="G11" s="2"/>
      <c r="H11" s="2"/>
      <c r="I11" s="2"/>
    </row>
    <row r="12" spans="2:9" x14ac:dyDescent="0.25">
      <c r="B12" s="4" t="s">
        <v>41</v>
      </c>
      <c r="C12" s="5" t="s">
        <v>7</v>
      </c>
      <c r="D12" s="2"/>
      <c r="E12" s="2"/>
      <c r="F12" s="2"/>
      <c r="G12" s="2"/>
      <c r="H12" s="2"/>
      <c r="I12" s="2"/>
    </row>
    <row r="13" spans="2:9" x14ac:dyDescent="0.25">
      <c r="B13" s="2" t="s">
        <v>37</v>
      </c>
      <c r="C13" s="3">
        <f>(C10/C4)*1000</f>
        <v>25.6</v>
      </c>
      <c r="D13" s="2" t="s">
        <v>40</v>
      </c>
      <c r="E13" s="2"/>
      <c r="F13" s="2"/>
      <c r="G13" s="2"/>
      <c r="H13" s="2"/>
      <c r="I13" s="2"/>
    </row>
    <row r="14" spans="2:9" x14ac:dyDescent="0.25">
      <c r="B14" s="2" t="s">
        <v>38</v>
      </c>
      <c r="C14" s="3">
        <f>20*LOG10(C13*1000000)</f>
        <v>148.16479930623697</v>
      </c>
      <c r="D14" s="2"/>
      <c r="E14" s="2"/>
      <c r="F14" s="2"/>
      <c r="G14" s="2"/>
      <c r="H14" s="2"/>
      <c r="I14" s="2"/>
    </row>
    <row r="15" spans="2:9" ht="31.5" customHeight="1" x14ac:dyDescent="0.25">
      <c r="B15" s="17" t="s">
        <v>42</v>
      </c>
      <c r="C15" s="5" t="s">
        <v>7</v>
      </c>
      <c r="D15" s="2"/>
      <c r="E15" s="2"/>
      <c r="F15" s="2"/>
      <c r="G15" s="2"/>
      <c r="H15" s="2"/>
      <c r="I15" s="2"/>
    </row>
    <row r="16" spans="2:9" ht="16.5" customHeight="1" x14ac:dyDescent="0.25">
      <c r="B16" s="2" t="s">
        <v>10</v>
      </c>
      <c r="C16" s="3">
        <f>C11/C6</f>
        <v>78.125</v>
      </c>
      <c r="D16" s="20" t="s">
        <v>39</v>
      </c>
      <c r="E16" s="20"/>
      <c r="F16" s="20"/>
      <c r="G16" s="20"/>
      <c r="H16" s="20"/>
      <c r="I16" s="15"/>
    </row>
    <row r="17" spans="2:9" x14ac:dyDescent="0.25">
      <c r="B17" s="2" t="s">
        <v>11</v>
      </c>
      <c r="C17" s="3">
        <f>20*LOG10(C16*1000)</f>
        <v>97.855800607042625</v>
      </c>
      <c r="D17" s="16"/>
      <c r="E17" s="16"/>
      <c r="F17" s="16"/>
      <c r="G17" s="16"/>
      <c r="H17" s="16"/>
      <c r="I17" s="16"/>
    </row>
    <row r="18" spans="2:9" x14ac:dyDescent="0.25">
      <c r="B18" s="2" t="s">
        <v>36</v>
      </c>
      <c r="C18" s="3">
        <f>C10/C16*1000*1000</f>
        <v>3276.7999999999997</v>
      </c>
      <c r="D18" s="2" t="s">
        <v>43</v>
      </c>
      <c r="E18" s="2"/>
      <c r="F18" s="2"/>
      <c r="G18" s="2"/>
      <c r="H18" s="2"/>
      <c r="I18" s="2"/>
    </row>
    <row r="19" spans="2:9" x14ac:dyDescent="0.25">
      <c r="B19" s="14" t="s">
        <v>24</v>
      </c>
      <c r="C19" s="3"/>
      <c r="D19" s="2"/>
      <c r="E19" s="2"/>
      <c r="F19" s="2"/>
      <c r="G19" s="2"/>
      <c r="H19" s="2"/>
      <c r="I19" s="2"/>
    </row>
    <row r="20" spans="2:9" x14ac:dyDescent="0.25">
      <c r="B20" s="4" t="s">
        <v>12</v>
      </c>
      <c r="C20" s="5" t="s">
        <v>7</v>
      </c>
      <c r="D20" s="2"/>
      <c r="E20" s="2"/>
      <c r="F20" s="2"/>
      <c r="G20" s="2"/>
      <c r="H20" s="2"/>
      <c r="I20" s="2"/>
    </row>
    <row r="21" spans="2:9" x14ac:dyDescent="0.25">
      <c r="B21" s="2" t="s">
        <v>13</v>
      </c>
      <c r="C21" s="6">
        <v>100</v>
      </c>
      <c r="D21" s="2" t="s">
        <v>14</v>
      </c>
      <c r="E21" s="2"/>
      <c r="F21" s="2"/>
      <c r="G21" s="2"/>
      <c r="H21" s="2"/>
      <c r="I21" s="2"/>
    </row>
    <row r="22" spans="2:9" x14ac:dyDescent="0.25">
      <c r="B22" s="2" t="s">
        <v>20</v>
      </c>
      <c r="C22" s="6">
        <v>40</v>
      </c>
      <c r="D22" s="2"/>
      <c r="E22" s="2"/>
      <c r="F22" s="2"/>
      <c r="G22" s="2"/>
      <c r="H22" s="2"/>
      <c r="I22" s="2"/>
    </row>
    <row r="23" spans="2:9" x14ac:dyDescent="0.25">
      <c r="B23" s="4" t="s">
        <v>16</v>
      </c>
      <c r="C23" s="5" t="s">
        <v>7</v>
      </c>
      <c r="D23" s="2"/>
      <c r="E23" s="2"/>
      <c r="F23" s="2"/>
      <c r="G23" s="2"/>
      <c r="H23" s="2"/>
      <c r="I23" s="2"/>
    </row>
    <row r="24" spans="2:9" x14ac:dyDescent="0.25">
      <c r="B24" s="2" t="s">
        <v>29</v>
      </c>
      <c r="C24" s="8">
        <f>C16</f>
        <v>78.125</v>
      </c>
      <c r="D24" s="2"/>
      <c r="E24" s="2"/>
      <c r="F24" s="2"/>
      <c r="G24" s="2"/>
      <c r="H24" s="2"/>
      <c r="I24" s="2"/>
    </row>
    <row r="25" spans="2:9" x14ac:dyDescent="0.25">
      <c r="B25" s="2" t="s">
        <v>28</v>
      </c>
      <c r="C25" s="3">
        <f>C17</f>
        <v>97.855800607042625</v>
      </c>
      <c r="D25" s="2"/>
      <c r="E25" s="2"/>
      <c r="F25" s="2"/>
      <c r="G25" s="2"/>
      <c r="H25" s="2"/>
      <c r="I25" s="2"/>
    </row>
    <row r="26" spans="2:9" x14ac:dyDescent="0.25">
      <c r="B26" s="2" t="s">
        <v>8</v>
      </c>
      <c r="C26" s="9">
        <f>C22*1000/C16</f>
        <v>512</v>
      </c>
      <c r="D26" s="2" t="s">
        <v>32</v>
      </c>
      <c r="E26" s="2"/>
      <c r="F26" s="2"/>
      <c r="G26" s="2"/>
      <c r="H26" s="2"/>
      <c r="I26" s="2"/>
    </row>
    <row r="27" spans="2:9" x14ac:dyDescent="0.25">
      <c r="B27" s="4" t="s">
        <v>15</v>
      </c>
      <c r="C27" s="5" t="s">
        <v>7</v>
      </c>
      <c r="D27" s="2"/>
      <c r="E27" s="2"/>
      <c r="F27" s="2"/>
      <c r="G27" s="2"/>
      <c r="H27" s="2"/>
      <c r="I27" s="2"/>
    </row>
    <row r="28" spans="2:9" x14ac:dyDescent="0.25">
      <c r="B28" s="2" t="s">
        <v>17</v>
      </c>
      <c r="C28" s="3">
        <f>SQRT(C16)</f>
        <v>8.8388347648318444</v>
      </c>
      <c r="D28" s="2" t="s">
        <v>18</v>
      </c>
      <c r="E28" s="2"/>
      <c r="F28" s="2"/>
      <c r="G28" s="2"/>
      <c r="H28" s="2"/>
      <c r="I28" s="2"/>
    </row>
    <row r="29" spans="2:9" x14ac:dyDescent="0.25">
      <c r="B29" s="2" t="s">
        <v>21</v>
      </c>
      <c r="C29" s="3">
        <f>20*LOG10(C28*1000)</f>
        <v>78.927900303521326</v>
      </c>
      <c r="D29" s="2"/>
      <c r="E29" s="2"/>
      <c r="F29" s="2"/>
      <c r="G29" s="2"/>
      <c r="H29" s="2"/>
      <c r="I29" s="2"/>
    </row>
    <row r="30" spans="2:9" x14ac:dyDescent="0.25">
      <c r="B30" s="2" t="s">
        <v>8</v>
      </c>
      <c r="C30" s="19">
        <f>C22*1000/C28</f>
        <v>4525.4833995939043</v>
      </c>
      <c r="D30" s="2" t="s">
        <v>33</v>
      </c>
      <c r="E30" s="2"/>
      <c r="F30" s="2"/>
      <c r="G30" s="2"/>
      <c r="H30" s="2"/>
      <c r="I30" s="2"/>
    </row>
    <row r="31" spans="2:9" x14ac:dyDescent="0.25">
      <c r="B31" s="2" t="s">
        <v>19</v>
      </c>
      <c r="C31" s="3">
        <f>C28</f>
        <v>8.8388347648318444</v>
      </c>
      <c r="D31" s="2"/>
      <c r="E31" s="2"/>
      <c r="F31" s="2"/>
      <c r="G31" s="2"/>
      <c r="H31" s="2"/>
      <c r="I31" s="2"/>
    </row>
    <row r="32" spans="2:9" x14ac:dyDescent="0.25">
      <c r="B32" s="2" t="s">
        <v>25</v>
      </c>
      <c r="C32" s="6">
        <v>100</v>
      </c>
      <c r="D32" s="2"/>
      <c r="E32" s="2"/>
      <c r="F32" s="2"/>
      <c r="G32" s="2"/>
      <c r="H32" s="2"/>
      <c r="I32" s="2"/>
    </row>
    <row r="33" spans="2:9" x14ac:dyDescent="0.25">
      <c r="B33" s="2" t="s">
        <v>26</v>
      </c>
      <c r="C33" s="3">
        <f>C32/C28</f>
        <v>11.313708498984759</v>
      </c>
      <c r="D33" s="2" t="s">
        <v>27</v>
      </c>
      <c r="E33" s="2"/>
      <c r="F33" s="2"/>
      <c r="G33" s="2"/>
      <c r="H33" s="2"/>
      <c r="I33" s="2"/>
    </row>
    <row r="34" spans="2:9" x14ac:dyDescent="0.25">
      <c r="B34" s="4"/>
      <c r="C34" s="5"/>
      <c r="D34" s="2"/>
      <c r="E34" s="2"/>
      <c r="F34" s="2"/>
      <c r="G34" s="2"/>
      <c r="H34" s="2"/>
      <c r="I34" s="2"/>
    </row>
    <row r="35" spans="2:9" x14ac:dyDescent="0.25">
      <c r="B35" s="2"/>
      <c r="C35" s="3"/>
      <c r="D35" s="2"/>
      <c r="E35" s="2"/>
      <c r="F35" s="2"/>
      <c r="G35" s="2"/>
      <c r="H35" s="2"/>
      <c r="I35" s="2"/>
    </row>
    <row r="36" spans="2:9" x14ac:dyDescent="0.25">
      <c r="B36" s="2"/>
      <c r="C36" s="3"/>
      <c r="D36" s="2"/>
      <c r="E36" s="2"/>
      <c r="F36" s="2"/>
      <c r="G36" s="2"/>
      <c r="H36" s="2"/>
      <c r="I36" s="3"/>
    </row>
    <row r="37" spans="2:9" x14ac:dyDescent="0.25">
      <c r="B37" s="2"/>
      <c r="C37" s="3"/>
      <c r="D37" s="3"/>
      <c r="E37" s="3"/>
      <c r="F37" s="3"/>
      <c r="G37" s="3"/>
      <c r="H37" s="3"/>
      <c r="I37" s="3"/>
    </row>
    <row r="38" spans="2:9" x14ac:dyDescent="0.25">
      <c r="B38" s="3"/>
      <c r="C38" s="3"/>
      <c r="D38" s="3"/>
      <c r="E38" s="3"/>
      <c r="F38" s="3"/>
      <c r="G38" s="3"/>
      <c r="H38" s="3"/>
      <c r="I38" s="3"/>
    </row>
    <row r="39" spans="2:9" x14ac:dyDescent="0.25">
      <c r="B39" s="3"/>
      <c r="C39" s="3"/>
      <c r="D39" s="3"/>
      <c r="E39" s="3"/>
      <c r="F39" s="3"/>
      <c r="G39" s="3"/>
      <c r="H39" s="3"/>
      <c r="I39" s="3"/>
    </row>
    <row r="40" spans="2:9" x14ac:dyDescent="0.25">
      <c r="B40" s="3"/>
      <c r="C40" s="3"/>
      <c r="D40" s="3"/>
      <c r="E40" s="3"/>
      <c r="F40" s="3"/>
      <c r="G40" s="3"/>
      <c r="H40" s="3"/>
      <c r="I40" s="3"/>
    </row>
  </sheetData>
  <mergeCells count="1">
    <mergeCell ref="D16:H16"/>
  </mergeCells>
  <conditionalFormatting sqref="C18">
    <cfRule type="cellIs" dxfId="4" priority="2" operator="lessThan">
      <formula>$C$4</formula>
    </cfRule>
  </conditionalFormatting>
  <conditionalFormatting sqref="C24">
    <cfRule type="cellIs" dxfId="3" priority="6" operator="greaterThan">
      <formula>$C$20</formula>
    </cfRule>
  </conditionalFormatting>
  <conditionalFormatting sqref="C26 C30">
    <cfRule type="cellIs" dxfId="2" priority="1" operator="lessThan">
      <formula>$C$7</formula>
    </cfRule>
  </conditionalFormatting>
  <conditionalFormatting sqref="C28">
    <cfRule type="cellIs" dxfId="1" priority="5" operator="greaterThan">
      <formula>$C$20</formula>
    </cfRule>
  </conditionalFormatting>
  <conditionalFormatting sqref="C35">
    <cfRule type="cellIs" dxfId="0" priority="3" operator="greaterThan">
      <formula>$C$20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Gewiese</dc:creator>
  <cp:lastModifiedBy>Fynn Gewiese</cp:lastModifiedBy>
  <dcterms:created xsi:type="dcterms:W3CDTF">2025-03-03T15:50:06Z</dcterms:created>
  <dcterms:modified xsi:type="dcterms:W3CDTF">2025-03-05T22:42:52Z</dcterms:modified>
</cp:coreProperties>
</file>